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  <sheet name="Ход уборки" sheetId="2" state="visible" r:id="rId4"/>
    <sheet name="Охват данных" sheetId="3" state="visible" r:id="rId5"/>
    <sheet name="Регионы" sheetId="4" state="visible" r:id="rId6"/>
    <sheet name="Культуры" sheetId="5" state="visible" r:id="rId7"/>
    <sheet name="Источни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<sst xmlns="http://schemas.openxmlformats.org/spreadsheetml/2006/main" count="98" uniqueCount="90">
  <si>
    <t xml:space="preserve">Ключевые показатели (для карточек Card/KPI в Power BI)</t>
  </si>
  <si>
    <t xml:space="preserve">Готовые значения для визуалов «Карточка» — не требуют DAX-мер.</t>
  </si>
  <si>
    <t xml:space="preserve">Показатель</t>
  </si>
  <si>
    <t xml:space="preserve">Значение</t>
  </si>
  <si>
    <t xml:space="preserve">Единица</t>
  </si>
  <si>
    <t xml:space="preserve">Прирост к 2024</t>
  </si>
  <si>
    <t xml:space="preserve">Валовой сбор картофеля 2025 (все категории)</t>
  </si>
  <si>
    <t xml:space="preserve">млн т</t>
  </si>
  <si>
    <t xml:space="preserve">Урожайность на 19 сентября</t>
  </si>
  <si>
    <t xml:space="preserve">ц/га</t>
  </si>
  <si>
    <t xml:space="preserve">Сбор в сельхозорганизациях</t>
  </si>
  <si>
    <t xml:space="preserve">тыс. т</t>
  </si>
  <si>
    <t xml:space="preserve">Площадь посадки (оперативные данные)</t>
  </si>
  <si>
    <t xml:space="preserve">тыс. га</t>
  </si>
  <si>
    <t xml:space="preserve">Ход уборки картофеля — организованный сектор, 2025</t>
  </si>
  <si>
    <t xml:space="preserve">Источник: оперативные сводки Минсельхозпрода РБ (см. лист «Источники»). Столбец «Прирост за период, тыс. т» и «Доля от финального сбора, %» — формулы.</t>
  </si>
  <si>
    <t xml:space="preserve">Дата</t>
  </si>
  <si>
    <t xml:space="preserve">Собрано нарастающим итогом, тыс. т</t>
  </si>
  <si>
    <t xml:space="preserve">Прирост урожайности к 2024, ц/га</t>
  </si>
  <si>
    <t xml:space="preserve">Прирост за период, тыс. т</t>
  </si>
  <si>
    <t xml:space="preserve">Доля от организ. сектора, %</t>
  </si>
  <si>
    <t xml:space="preserve">Дата (подпись)</t>
  </si>
  <si>
    <t xml:space="preserve">2025-08-27</t>
  </si>
  <si>
    <t xml:space="preserve">27 авг</t>
  </si>
  <si>
    <t xml:space="preserve">2025-09-19</t>
  </si>
  <si>
    <t xml:space="preserve">19 сен</t>
  </si>
  <si>
    <t xml:space="preserve">2025-10-06</t>
  </si>
  <si>
    <t xml:space="preserve">6 окт</t>
  </si>
  <si>
    <t xml:space="preserve">2025-10-24</t>
  </si>
  <si>
    <t xml:space="preserve">24 окт</t>
  </si>
  <si>
    <t xml:space="preserve">Организованный сектор vs итоговый сбор по стране, 2025</t>
  </si>
  <si>
    <t xml:space="preserve">Источник: Sputnik Беларусь (19.01.2026), MyFin.by. «Доля, %» — формула от итога года.</t>
  </si>
  <si>
    <t xml:space="preserve">Категория охвата</t>
  </si>
  <si>
    <t xml:space="preserve">Объём, тыс. т</t>
  </si>
  <si>
    <t xml:space="preserve">Доля от итога года, %</t>
  </si>
  <si>
    <t xml:space="preserve">Организованный сектор (оперативный мониторинг)</t>
  </si>
  <si>
    <t xml:space="preserve">Все категории хозяйств (итог года, Белстат)</t>
  </si>
  <si>
    <t xml:space="preserve">Сбор картофеля по областям — сельхозорганизации, 2025</t>
  </si>
  <si>
    <t xml:space="preserve">*Гродненская и Витебская области объединены расчётным остатком (не раскрыты по отдельности в источнике). Источник: MyFin.by. «Доля, %» и «Накопительно, %» — формулы.</t>
  </si>
  <si>
    <t xml:space="preserve">Область</t>
  </si>
  <si>
    <t xml:space="preserve">Накопительно, %</t>
  </si>
  <si>
    <t xml:space="preserve">Минская</t>
  </si>
  <si>
    <t xml:space="preserve">Могилёвская</t>
  </si>
  <si>
    <t xml:space="preserve">Брестская</t>
  </si>
  <si>
    <t xml:space="preserve">Гомельская</t>
  </si>
  <si>
    <t xml:space="preserve">Остальные области*</t>
  </si>
  <si>
    <t xml:space="preserve">Валовой сбор ключевых культур, 2025</t>
  </si>
  <si>
    <t xml:space="preserve">Источник: MyFin.by (19.01.2026). Урожайность картофеля по всем категориям хозяйств за год в источниках не публиковалась (см. лист «Источники», раздел «Пробелы»). «Ранг» — формула.</t>
  </si>
  <si>
    <t xml:space="preserve">Культура</t>
  </si>
  <si>
    <t xml:space="preserve">Валовой сбор, млн т</t>
  </si>
  <si>
    <t xml:space="preserve">Урожайность, ц/га</t>
  </si>
  <si>
    <t xml:space="preserve">Ранг по валовому сбору</t>
  </si>
  <si>
    <t xml:space="preserve">Зерновые и зернобобовые</t>
  </si>
  <si>
    <t xml:space="preserve">Сахарная свёкла</t>
  </si>
  <si>
    <t xml:space="preserve">Овощи</t>
  </si>
  <si>
    <t xml:space="preserve">Картофель</t>
  </si>
  <si>
    <t xml:space="preserve">Рапс</t>
  </si>
  <si>
    <t xml:space="preserve">Льноволокно</t>
  </si>
  <si>
    <t xml:space="preserve">Источники данных</t>
  </si>
  <si>
    <t xml:space="preserve">Полный список публикаций, из которых собраны цифры в этом файле.</t>
  </si>
  <si>
    <t xml:space="preserve">Источник</t>
  </si>
  <si>
    <t xml:space="preserve">Что содержит</t>
  </si>
  <si>
    <t xml:space="preserve">Ссылка</t>
  </si>
  <si>
    <t xml:space="preserve">19.01.2026</t>
  </si>
  <si>
    <t xml:space="preserve">Sputnik Беларусь</t>
  </si>
  <si>
    <t xml:space="preserve">Итоги уборочной кампании 2025 года</t>
  </si>
  <si>
    <t xml:space="preserve">https://sputnik.by/20260119/belstat-podvel-itogi-uborochnoy-kampanii-2025-goda-1103582974.html</t>
  </si>
  <si>
    <t xml:space="preserve">MyFin.by</t>
  </si>
  <si>
    <t xml:space="preserve">Сбор зерна, картофеля и овощей за 2025 год</t>
  </si>
  <si>
    <t xml:space="preserve">https://myfin.by/article/rynki/stalo-izvestno-skolko-v-belarusi-sobrali-zerna-kartofela-i-ovosej-za-2025-god-43039</t>
  </si>
  <si>
    <t xml:space="preserve">2025</t>
  </si>
  <si>
    <t xml:space="preserve">Итоги уборки картофеля в сельхозорганизациях, по областям</t>
  </si>
  <si>
    <t xml:space="preserve">https://myfin.by/article/rynki/v-belarusi-zaversilas-uborka-kartofela-kakim-byl-urozaj-41599</t>
  </si>
  <si>
    <t xml:space="preserve">27.08.2025</t>
  </si>
  <si>
    <t xml:space="preserve">Оперативная сводка на 27 августа</t>
  </si>
  <si>
    <t xml:space="preserve">https://sputnik.by/20250827/srednyaya-urozhaynost-kartofelya-v-belarusi-bolshe-proshlogodney-1099260956.html</t>
  </si>
  <si>
    <t xml:space="preserve">19.09.2025</t>
  </si>
  <si>
    <t xml:space="preserve">Портал (РФ-домен)</t>
  </si>
  <si>
    <t xml:space="preserve">Оперативная сводка на 19 сентября</t>
  </si>
  <si>
    <t xml:space="preserve">https://xn--e1alid.xn--p1ai/journal/publication/urozhaiynost-kartofelya-v-belorussii-vyrosla-na-30-centnerov-s-gektara-v-2025-godu</t>
  </si>
  <si>
    <t xml:space="preserve">06.10.2025</t>
  </si>
  <si>
    <t xml:space="preserve">Оперативная сводка на 6 октября</t>
  </si>
  <si>
    <t xml:space="preserve">https://sputnik.by/20251006/minselkhozprod-urozhaynost-kartofelya-v-belarusi-vyshe-proshlogodney-1100532014.html</t>
  </si>
  <si>
    <t xml:space="preserve">24.10.2025</t>
  </si>
  <si>
    <t xml:space="preserve">Родная нива</t>
  </si>
  <si>
    <t xml:space="preserve">Оперативная сводка на 24 октября</t>
  </si>
  <si>
    <t xml:space="preserve">https://www.rodniva.by/2025/10/uborochnaja-kampanija-2025-urozhajnost-zerna-i-svekly-vyrosla.html</t>
  </si>
  <si>
    <t xml:space="preserve">Zerkalo.io</t>
  </si>
  <si>
    <t xml:space="preserve">Решение об увеличении посевных площадей (16,8 → 19,7 тыс. га)</t>
  </si>
  <si>
    <t xml:space="preserve">https://news.zerkalo.io/economics/99827.html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</si>
</sst>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##"/>
    <numFmt numFmtId="166" formatCode="\+0.0;\-0.0"/>
    <numFmt numFmtId="167" formatCode="yyyy\-mm\-dd"/>
    <numFmt numFmtId="168" formatCode="0.0"/>
    <numFmt numFmtId="169" formatCode="#,##0"/>
    <numFmt numFmtId="170" formatCode="0.0%"/>
    <numFmt numFmtId="171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2018"/>
      <name val="Arial"/>
      <family val="0"/>
      <charset val="1"/>
    </font>
    <font>
      <i val="true"/>
      <sz val="9"/>
      <color rgb="FF5B4E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2A201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3592F"/>
        <bgColor rgb="FF5B4E3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359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201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592F"/>
      <rgbColor rgb="FF969696"/>
      <rgbColor rgb="FF003366"/>
      <rgbColor rgb="FF339966"/>
      <rgbColor rgb="FF003300"/>
      <rgbColor rgb="FF2A2018"/>
      <rgbColor rgb="FF993300"/>
      <rgbColor rgb="FF993366"/>
      <rgbColor rgb="FF333399"/>
      <rgbColor rgb="FF5B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PI_tbl" displayName="KPI_tbl" ref="A4:D8" headerRowCount="1" totalsRowCount="0" totalsRowShown="0">
  <autoFilter ref="A4:D8"/>
  <tableColumns count="4">
    <tableColumn id="1" name="Показатель"/>
    <tableColumn id="2" name="Значение"/>
    <tableColumn id="3" name="Единица"/>
    <tableColumn id="4" name="Прирост к 2024"/>
  </tableColumns>
</table>
</file>

<file path=xl/tables/table2.xml><?xml version="1.0" encoding="utf-8"?>
<table xmlns="http://schemas.openxmlformats.org/spreadsheetml/2006/main" id="2" name="Источники_tbl" displayName="Источники_tbl" ref="A4:D12" headerRowCount="1" totalsRowCount="0" totalsRowShown="0">
  <autoFilter ref="A4:D12"/>
  <tableColumns count="4">
    <tableColumn id="1" name="Дата"/>
    <tableColumn id="2" name="Источник"/>
    <tableColumn id="3" name="Что содержит"/>
    <tableColumn id="4" name="Ссылка"/>
  </tableColumns>
</table>
</file>

<file path=xl/tables/table3.xml><?xml version="1.0" encoding="utf-8"?>
<table xmlns="http://schemas.openxmlformats.org/spreadsheetml/2006/main" id="3" name="Культуры_tbl" displayName="Культуры_tbl" ref="A4:D10" headerRowCount="1" totalsRowCount="0" totalsRowShown="0">
  <autoFilter ref="A4:D10"/>
  <tableColumns count="4">
    <tableColumn id="1" name="Культура"/>
    <tableColumn id="2" name="Валовой сбор, млн т"/>
    <tableColumn id="3" name="Урожайность, ц/га"/>
    <tableColumn id="4" name="Ранг по валовому сбору"/>
  </tableColumns>
</table>
</file>

<file path=xl/tables/table4.xml><?xml version="1.0" encoding="utf-8"?>
<table xmlns="http://schemas.openxmlformats.org/spreadsheetml/2006/main" id="4" name="Охват_данных_tbl" displayName="Охват_данных_tbl" ref="A4:C6" headerRowCount="1" totalsRowCount="0" totalsRowShown="0">
  <autoFilter ref="A4:C6"/>
  <tableColumns count="3">
    <tableColumn id="1" name="Категория охвата"/>
    <tableColumn id="2" name="Объём, тыс. т"/>
    <tableColumn id="3" name="Доля от итога года, %"/>
  </tableColumns>
</table>
</file>

<file path=xl/tables/table5.xml><?xml version="1.0" encoding="utf-8"?>
<table xmlns="http://schemas.openxmlformats.org/spreadsheetml/2006/main" id="5" name="Регионы_tbl" displayName="Регионы_tbl" ref="A4:D9" headerRowCount="1" totalsRowCount="0" totalsRowShown="0">
  <autoFilter ref="A4:D9"/>
  <tableColumns count="4">
    <tableColumn id="1" name="Область"/>
    <tableColumn id="2" name="Объём, тыс. т"/>
    <tableColumn id="3" name="Доля от организ. сектора, %"/>
    <tableColumn id="4" name="Накопительно, %"/>
  </tableColumns>
</table>
</file>

<file path=xl/tables/table6.xml><?xml version="1.0" encoding="utf-8"?>
<table xmlns="http://schemas.openxmlformats.org/spreadsheetml/2006/main" id="6" name="Ход_уборки_tbl" displayName="Ход_уборки_tbl" ref="A4:F8" headerRowCount="1" totalsRowCount="0" totalsRowShown="0">
  <autoFilter ref="A4:F8"/>
  <tableColumns count="6">
    <tableColumn id="1" name="Дата"/>
    <tableColumn id="2" name="Собрано нарастающим итогом, тыс. т"/>
    <tableColumn id="3" name="Прирост урожайности к 2024, ц/га"/>
    <tableColumn id="4" name="Прирост за период, тыс. т"/>
    <tableColumn id="5" name="Доля от организ. сектора, %"/>
    <tableColumn id="6" name="Дата (подпись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4"/>
    <col collapsed="false" customWidth="true" hidden="false" outlineLevel="0" max="4" min="4" style="1" width="17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3</v>
      </c>
      <c r="C5" s="5" t="s">
        <v>7</v>
      </c>
      <c r="D5" s="7"/>
    </row>
    <row r="6" customFormat="false" ht="15" hidden="false" customHeight="true" outlineLevel="0" collapsed="false">
      <c r="A6" s="5" t="s">
        <v>8</v>
      </c>
      <c r="B6" s="6" t="n">
        <v>340</v>
      </c>
      <c r="C6" s="5" t="s">
        <v>9</v>
      </c>
      <c r="D6" s="7" t="n">
        <v>30.4</v>
      </c>
    </row>
    <row r="7" customFormat="false" ht="15" hidden="false" customHeight="true" outlineLevel="0" collapsed="false">
      <c r="A7" s="5" t="s">
        <v>10</v>
      </c>
      <c r="B7" s="6" t="n">
        <v>675</v>
      </c>
      <c r="C7" s="5" t="s">
        <v>11</v>
      </c>
      <c r="D7" s="7" t="n">
        <v>125</v>
      </c>
    </row>
    <row r="8" customFormat="false" ht="15" hidden="false" customHeight="true" outlineLevel="0" collapsed="false">
      <c r="A8" s="5" t="s">
        <v>12</v>
      </c>
      <c r="B8" s="6" t="n">
        <v>21.8</v>
      </c>
      <c r="C8" s="5" t="s">
        <v>13</v>
      </c>
      <c r="D8" s="7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7"/>
    <col collapsed="false" customWidth="true" hidden="false" outlineLevel="0" max="3" min="3" style="1" width="35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0" width="16"/>
  </cols>
  <sheetData>
    <row r="1" customFormat="false" ht="17.25" hidden="false" customHeight="true" outlineLevel="0" collapsed="false">
      <c r="A1" s="2" t="s">
        <v>14</v>
      </c>
    </row>
    <row r="2" customFormat="false" ht="15" hidden="false" customHeight="true" outlineLevel="0" collapsed="false">
      <c r="A2" s="3" t="s">
        <v>15</v>
      </c>
      <c r="B2" s="3"/>
      <c r="C2" s="3"/>
      <c r="D2" s="3"/>
      <c r="E2" s="3"/>
    </row>
    <row r="4" customFormat="false" ht="26.25" hidden="false" customHeight="tru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customFormat="false" ht="15" hidden="false" customHeight="true" outlineLevel="0" collapsed="false">
      <c r="A5" s="8" t="s">
        <v>22</v>
      </c>
      <c r="B5" s="5" t="n">
        <v>33</v>
      </c>
      <c r="C5" s="9" t="n">
        <v>89.1</v>
      </c>
      <c r="D5" s="10" t="n">
        <f aca="false">B5</f>
        <v>33</v>
      </c>
      <c r="E5" s="11" t="n">
        <f aca="false">B5/B8</f>
        <v>0.0494011976047904</v>
      </c>
      <c r="F5" s="12" t="s">
        <v>23</v>
      </c>
    </row>
    <row r="6" customFormat="false" ht="15" hidden="false" customHeight="true" outlineLevel="0" collapsed="false">
      <c r="A6" s="8" t="s">
        <v>24</v>
      </c>
      <c r="B6" s="5" t="n">
        <v>225</v>
      </c>
      <c r="C6" s="9" t="n">
        <v>30.4</v>
      </c>
      <c r="D6" s="10" t="n">
        <f aca="false">B6-B5</f>
        <v>192</v>
      </c>
      <c r="E6" s="11" t="n">
        <f aca="false">B6/B8</f>
        <v>0.336826347305389</v>
      </c>
      <c r="F6" s="12" t="s">
        <v>25</v>
      </c>
    </row>
    <row r="7" customFormat="false" ht="15" hidden="false" customHeight="true" outlineLevel="0" collapsed="false">
      <c r="A7" s="8" t="s">
        <v>26</v>
      </c>
      <c r="B7" s="5" t="n">
        <v>500</v>
      </c>
      <c r="C7" s="9"/>
      <c r="D7" s="10" t="n">
        <f aca="false">B7-B6</f>
        <v>275</v>
      </c>
      <c r="E7" s="11" t="n">
        <f aca="false">B7/B8</f>
        <v>0.748502994011976</v>
      </c>
      <c r="F7" s="12" t="s">
        <v>27</v>
      </c>
    </row>
    <row r="8" customFormat="false" ht="15" hidden="false" customHeight="true" outlineLevel="0" collapsed="false">
      <c r="A8" s="8" t="s">
        <v>28</v>
      </c>
      <c r="B8" s="5" t="n">
        <v>668</v>
      </c>
      <c r="C8" s="9"/>
      <c r="D8" s="10" t="n">
        <f aca="false">B8-B7</f>
        <v>168</v>
      </c>
      <c r="E8" s="11" t="n">
        <f aca="false">B8/B8</f>
        <v>1</v>
      </c>
      <c r="F8" s="12" t="s">
        <v>29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6"/>
    <col collapsed="false" customWidth="true" hidden="false" outlineLevel="0" max="3" min="3" style="1" width="24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  <c r="B2" s="3"/>
      <c r="C2" s="3"/>
    </row>
    <row r="4" customFormat="false" ht="26.25" hidden="false" customHeight="true" outlineLevel="0" collapsed="false">
      <c r="A4" s="4" t="s">
        <v>32</v>
      </c>
      <c r="B4" s="4" t="s">
        <v>33</v>
      </c>
      <c r="C4" s="4" t="s">
        <v>34</v>
      </c>
    </row>
    <row r="5" customFormat="false" ht="15" hidden="false" customHeight="true" outlineLevel="0" collapsed="false">
      <c r="A5" s="5" t="s">
        <v>35</v>
      </c>
      <c r="B5" s="13" t="n">
        <v>675</v>
      </c>
      <c r="C5" s="11" t="n">
        <f aca="false">B5/B$6</f>
        <v>0.225</v>
      </c>
    </row>
    <row r="6" customFormat="false" ht="15" hidden="false" customHeight="true" outlineLevel="0" collapsed="false">
      <c r="A6" s="5" t="s">
        <v>36</v>
      </c>
      <c r="B6" s="13" t="n">
        <v>3000</v>
      </c>
      <c r="C6" s="11" t="n">
        <f aca="false">B6/B$6</f>
        <v>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37</v>
      </c>
    </row>
    <row r="2" customFormat="false" ht="15" hidden="false" customHeight="true" outlineLevel="0" collapsed="false">
      <c r="A2" s="3" t="s">
        <v>38</v>
      </c>
      <c r="B2" s="3"/>
      <c r="C2" s="3"/>
      <c r="D2" s="3"/>
    </row>
    <row r="4" customFormat="false" ht="26.25" hidden="false" customHeight="true" outlineLevel="0" collapsed="false">
      <c r="A4" s="4" t="s">
        <v>39</v>
      </c>
      <c r="B4" s="4" t="s">
        <v>33</v>
      </c>
      <c r="C4" s="4" t="s">
        <v>20</v>
      </c>
      <c r="D4" s="4" t="s">
        <v>40</v>
      </c>
    </row>
    <row r="5" customFormat="false" ht="15" hidden="false" customHeight="true" outlineLevel="0" collapsed="false">
      <c r="A5" s="5" t="s">
        <v>41</v>
      </c>
      <c r="B5" s="13" t="n">
        <v>187</v>
      </c>
      <c r="C5" s="11" t="n">
        <f aca="false">B5/SUM(B$5:B$9)</f>
        <v>0.277037037037037</v>
      </c>
      <c r="D5" s="11" t="n">
        <f aca="false">SUM(B$5:B5)/SUM(B$5:B$9)</f>
        <v>0.277037037037037</v>
      </c>
    </row>
    <row r="6" customFormat="false" ht="15" hidden="false" customHeight="true" outlineLevel="0" collapsed="false">
      <c r="A6" s="5" t="s">
        <v>42</v>
      </c>
      <c r="B6" s="13" t="n">
        <v>139</v>
      </c>
      <c r="C6" s="11" t="n">
        <f aca="false">B6/SUM(B$5:B$9)</f>
        <v>0.205925925925926</v>
      </c>
      <c r="D6" s="11" t="n">
        <f aca="false">SUM(B$5:B6)/SUM(B$5:B$9)</f>
        <v>0.482962962962963</v>
      </c>
    </row>
    <row r="7" customFormat="false" ht="15" hidden="false" customHeight="true" outlineLevel="0" collapsed="false">
      <c r="A7" s="5" t="s">
        <v>43</v>
      </c>
      <c r="B7" s="13" t="n">
        <v>132</v>
      </c>
      <c r="C7" s="11" t="n">
        <f aca="false">B7/SUM(B$5:B$9)</f>
        <v>0.195555555555556</v>
      </c>
      <c r="D7" s="11" t="n">
        <f aca="false">SUM(B$5:B7)/SUM(B$5:B$9)</f>
        <v>0.678518518518519</v>
      </c>
    </row>
    <row r="8" customFormat="false" ht="15" hidden="false" customHeight="true" outlineLevel="0" collapsed="false">
      <c r="A8" s="5" t="s">
        <v>44</v>
      </c>
      <c r="B8" s="13" t="n">
        <v>86</v>
      </c>
      <c r="C8" s="11" t="n">
        <f aca="false">B8/SUM(B$5:B$9)</f>
        <v>0.127407407407407</v>
      </c>
      <c r="D8" s="11" t="n">
        <f aca="false">SUM(B$5:B8)/SUM(B$5:B$9)</f>
        <v>0.805925925925926</v>
      </c>
    </row>
    <row r="9" customFormat="false" ht="15" hidden="false" customHeight="true" outlineLevel="0" collapsed="false">
      <c r="A9" s="5" t="s">
        <v>45</v>
      </c>
      <c r="B9" s="13" t="n">
        <v>131</v>
      </c>
      <c r="C9" s="11" t="n">
        <f aca="false">B9/SUM(B$5:B$9)</f>
        <v>0.194074074074074</v>
      </c>
      <c r="D9" s="11" t="n">
        <f aca="false">SUM(B$5:B9)/SUM(B$5:B$9)</f>
        <v>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5"/>
  </cols>
  <sheetData>
    <row r="1" customFormat="false" ht="17.25" hidden="false" customHeight="true" outlineLevel="0" collapsed="false">
      <c r="A1" s="2" t="s">
        <v>46</v>
      </c>
    </row>
    <row r="2" customFormat="false" ht="15" hidden="false" customHeight="true" outlineLevel="0" collapsed="false">
      <c r="A2" s="3" t="s">
        <v>47</v>
      </c>
      <c r="B2" s="3"/>
      <c r="C2" s="3"/>
      <c r="D2" s="3"/>
    </row>
    <row r="4" customFormat="false" ht="26.2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</row>
    <row r="5" customFormat="false" ht="15" hidden="false" customHeight="true" outlineLevel="0" collapsed="false">
      <c r="A5" s="5" t="s">
        <v>52</v>
      </c>
      <c r="B5" s="14" t="n">
        <v>9.1</v>
      </c>
      <c r="C5" s="9" t="n">
        <v>38.2</v>
      </c>
      <c r="D5" s="1" t="n">
        <f aca="false">RANK(B5,B$5:B$10)</f>
        <v>1</v>
      </c>
    </row>
    <row r="6" customFormat="false" ht="15" hidden="false" customHeight="true" outlineLevel="0" collapsed="false">
      <c r="A6" s="5" t="s">
        <v>53</v>
      </c>
      <c r="B6" s="14" t="n">
        <v>5.9</v>
      </c>
      <c r="C6" s="9" t="n">
        <v>538</v>
      </c>
      <c r="D6" s="1" t="n">
        <f aca="false">RANK(B6,B$5:B$10)</f>
        <v>2</v>
      </c>
    </row>
    <row r="7" customFormat="false" ht="15" hidden="false" customHeight="true" outlineLevel="0" collapsed="false">
      <c r="A7" s="5" t="s">
        <v>54</v>
      </c>
      <c r="B7" s="14" t="n">
        <v>2.7</v>
      </c>
      <c r="C7" s="9" t="n">
        <v>289</v>
      </c>
      <c r="D7" s="1" t="n">
        <f aca="false">RANK(B7,B$5:B$10)</f>
        <v>4</v>
      </c>
    </row>
    <row r="8" customFormat="false" ht="15" hidden="false" customHeight="true" outlineLevel="0" collapsed="false">
      <c r="A8" s="5" t="s">
        <v>55</v>
      </c>
      <c r="B8" s="14" t="n">
        <v>3</v>
      </c>
      <c r="C8" s="9"/>
      <c r="D8" s="1" t="n">
        <f aca="false">RANK(B8,B$5:B$10)</f>
        <v>3</v>
      </c>
    </row>
    <row r="9" customFormat="false" ht="15" hidden="false" customHeight="true" outlineLevel="0" collapsed="false">
      <c r="A9" s="5" t="s">
        <v>56</v>
      </c>
      <c r="B9" s="14" t="n">
        <v>0.9103</v>
      </c>
      <c r="C9" s="9" t="n">
        <v>20.9</v>
      </c>
      <c r="D9" s="1" t="n">
        <f aca="false">RANK(B9,B$5:B$10)</f>
        <v>5</v>
      </c>
    </row>
    <row r="10" customFormat="false" ht="15" hidden="false" customHeight="true" outlineLevel="0" collapsed="false">
      <c r="A10" s="5" t="s">
        <v>57</v>
      </c>
      <c r="B10" s="14" t="n">
        <v>0.0583</v>
      </c>
      <c r="C10" s="9" t="n">
        <v>12</v>
      </c>
      <c r="D10" s="1" t="n">
        <f aca="false">RANK(B10,B$5:B$10)</f>
        <v>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64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58</v>
      </c>
    </row>
    <row r="2" customFormat="false" ht="15" hidden="false" customHeight="true" outlineLevel="0" collapsed="false">
      <c r="A2" s="3" t="s">
        <v>59</v>
      </c>
      <c r="B2" s="3"/>
      <c r="C2" s="3"/>
      <c r="D2" s="3"/>
    </row>
    <row r="4" customFormat="false" ht="15" hidden="false" customHeight="true" outlineLevel="0" collapsed="false">
      <c r="A4" s="4" t="s">
        <v>16</v>
      </c>
      <c r="B4" s="4" t="s">
        <v>60</v>
      </c>
      <c r="C4" s="4" t="s">
        <v>61</v>
      </c>
      <c r="D4" s="4" t="s">
        <v>62</v>
      </c>
    </row>
    <row r="5" customFormat="false" ht="15" hidden="false" customHeight="true" outlineLevel="0" collapsed="false">
      <c r="A5" s="5" t="s">
        <v>63</v>
      </c>
      <c r="B5" s="5" t="s">
        <v>64</v>
      </c>
      <c r="C5" s="5" t="s">
        <v>65</v>
      </c>
      <c r="D5" s="5" t="s">
        <v>66</v>
      </c>
    </row>
    <row r="6" customFormat="false" ht="15" hidden="false" customHeight="true" outlineLevel="0" collapsed="false">
      <c r="A6" s="5" t="s">
        <v>63</v>
      </c>
      <c r="B6" s="5" t="s">
        <v>67</v>
      </c>
      <c r="C6" s="5" t="s">
        <v>68</v>
      </c>
      <c r="D6" s="5" t="s">
        <v>69</v>
      </c>
    </row>
    <row r="7" customFormat="false" ht="15" hidden="false" customHeight="true" outlineLevel="0" collapsed="false">
      <c r="A7" s="5" t="s">
        <v>70</v>
      </c>
      <c r="B7" s="5" t="s">
        <v>67</v>
      </c>
      <c r="C7" s="5" t="s">
        <v>71</v>
      </c>
      <c r="D7" s="5" t="s">
        <v>72</v>
      </c>
    </row>
    <row r="8" customFormat="false" ht="15" hidden="false" customHeight="true" outlineLevel="0" collapsed="false">
      <c r="A8" s="5" t="s">
        <v>73</v>
      </c>
      <c r="B8" s="5" t="s">
        <v>64</v>
      </c>
      <c r="C8" s="5" t="s">
        <v>74</v>
      </c>
      <c r="D8" s="5" t="s">
        <v>75</v>
      </c>
    </row>
    <row r="9" customFormat="false" ht="15" hidden="false" customHeight="true" outlineLevel="0" collapsed="false">
      <c r="A9" s="5" t="s">
        <v>76</v>
      </c>
      <c r="B9" s="5" t="s">
        <v>77</v>
      </c>
      <c r="C9" s="5" t="s">
        <v>78</v>
      </c>
      <c r="D9" s="5" t="s">
        <v>79</v>
      </c>
    </row>
    <row r="10" customFormat="false" ht="15" hidden="false" customHeight="true" outlineLevel="0" collapsed="false">
      <c r="A10" s="5" t="s">
        <v>80</v>
      </c>
      <c r="B10" s="5" t="s">
        <v>64</v>
      </c>
      <c r="C10" s="5" t="s">
        <v>81</v>
      </c>
      <c r="D10" s="5" t="s">
        <v>82</v>
      </c>
    </row>
    <row r="11" customFormat="false" ht="15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</row>
    <row r="12" customFormat="false" ht="15" hidden="false" customHeight="true" outlineLevel="0" collapsed="false">
      <c r="A12" s="5" t="s">
        <v>70</v>
      </c>
      <c r="B12" s="5" t="s">
        <v>87</v>
      </c>
      <c r="C12" s="5" t="s">
        <v>88</v>
      </c>
      <c r="D12" s="5" t="s">
        <v>89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2026-09-15T21:22:33Z</dcterms:created>
  <dc:creator>openpyxl</dc:creator>
  <dc:description/>
  <dc:language>en-US</dc:language>
  <cp:lastModifiedBy/>
  <dcterms:modified xsi:type="dcterms:W3CDTF">2026-09-16T11:41:26Z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